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cuments\Programming\Java\PLI24_WikiViewer\documents\"/>
    </mc:Choice>
  </mc:AlternateContent>
  <xr:revisionPtr revIDLastSave="0" documentId="13_ncr:1_{C59C5653-528E-449E-990C-0D8C126E20F9}" xr6:coauthVersionLast="47" xr6:coauthVersionMax="47" xr10:uidLastSave="{00000000-0000-0000-0000-000000000000}"/>
  <bookViews>
    <workbookView xWindow="1850" yWindow="1000" windowWidth="30320" windowHeight="17620" xr2:uid="{EDDA30D3-2773-4891-B926-6B3AC601542E}"/>
  </bookViews>
  <sheets>
    <sheet name="Sprint1" sheetId="1" r:id="rId1"/>
    <sheet name="Sprint2" sheetId="4" r:id="rId2"/>
    <sheet name="Sprin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3" i="1" l="1"/>
  <c r="C14" i="1"/>
  <c r="C15" i="1"/>
  <c r="C16" i="1"/>
  <c r="C17" i="1"/>
  <c r="C18" i="1"/>
  <c r="C19" i="1"/>
  <c r="C20" i="1"/>
  <c r="C21" i="1"/>
  <c r="C22" i="1"/>
  <c r="C23" i="1"/>
  <c r="C24" i="1"/>
  <c r="C25" i="1"/>
  <c r="C12" i="3"/>
  <c r="C13" i="3"/>
  <c r="C14" i="3"/>
  <c r="C15" i="3"/>
  <c r="C16" i="3"/>
  <c r="C17" i="3"/>
  <c r="C18" i="3"/>
  <c r="C19" i="3"/>
  <c r="C20" i="3"/>
  <c r="C21" i="3"/>
  <c r="C22" i="3"/>
  <c r="C23" i="3"/>
  <c r="C24" i="3"/>
  <c r="C25" i="3"/>
  <c r="C26" i="3"/>
  <c r="C27" i="3"/>
  <c r="C11" i="3"/>
  <c r="C12" i="1"/>
  <c r="C18" i="4"/>
  <c r="C19" i="4"/>
  <c r="C20" i="4"/>
  <c r="C21" i="4"/>
  <c r="C22" i="4"/>
  <c r="C23" i="4"/>
  <c r="C24" i="4"/>
  <c r="C25" i="4"/>
  <c r="C26" i="4"/>
  <c r="C27" i="4"/>
  <c r="C28" i="4"/>
  <c r="C29" i="4"/>
  <c r="C30" i="4"/>
  <c r="C17" i="4"/>
</calcChain>
</file>

<file path=xl/sharedStrings.xml><?xml version="1.0" encoding="utf-8"?>
<sst xmlns="http://schemas.openxmlformats.org/spreadsheetml/2006/main" count="149" uniqueCount="87">
  <si>
    <t>Τίτλος</t>
  </si>
  <si>
    <t>Περιγραφή</t>
  </si>
  <si>
    <t>Effort</t>
  </si>
  <si>
    <t>Sprint</t>
  </si>
  <si>
    <t>Υπεύθυνος</t>
  </si>
  <si>
    <t>Acceptance Criteria</t>
  </si>
  <si>
    <t>Τεχνική απαίτηση GUI (main)</t>
  </si>
  <si>
    <t>Τεχνική απαίτηση για τον σχεδιασμό των κλάσεων του Sprint 1.</t>
  </si>
  <si>
    <t>NZ</t>
  </si>
  <si>
    <t>NN</t>
  </si>
  <si>
    <t>AA</t>
  </si>
  <si>
    <t>A/A</t>
  </si>
  <si>
    <t>Priority</t>
  </si>
  <si>
    <t>1. Καλεί επιτυχώς το API 2. Λήψη JSON response 3. Εμφάνιση στην κονσόλα 4. Καθαρισμός με JSOUP</t>
  </si>
  <si>
    <t>1. Visual Paradigm 2. Να είναι πιστό στον κώδικα 3. Να έχει συσχετίσεις</t>
  </si>
  <si>
    <t>1. Να είναι βάση με χρήση της Derby 2. Περιλαμβάνει όλες τις απαραίτητες στήλες 3. Να υπάρχει SQL script για τη δημιουργία πινάκων</t>
  </si>
  <si>
    <t>1. Visual paradigm project 2. Κατανοητό και περιληπτικό για τη σχεδίαση της βάσης 3. Να είναι σε pdf</t>
  </si>
  <si>
    <t>1. Δημιουργία Κεντρικού παραθύρου 2. Να περιλαμβάνει βασικές λειτουργίες</t>
  </si>
  <si>
    <t>Velocity</t>
  </si>
  <si>
    <t>SprintEffort</t>
  </si>
  <si>
    <t>User Story - Τροποποίηση άρθρου</t>
  </si>
  <si>
    <t>Ως χρήστης, θέλω να επεξεργάζομαι ένα αποθηκευμένο άρθρο προσθέτοντας κατηγορία, σχόλια και βαθμολογία.</t>
  </si>
  <si>
    <t>1.Φόρμα επεξεργασίας με πεδία: Κατηγορία (string), Σχόλια (string), Βαθμολογία (int). 2.Έλεγχος εγκυρότητας στη βαθμολογία (1-5) 3.Tο κουμπί "Ενημέρωση" αποθηκεύει τις αλλαγές στη ΒΔ.</t>
  </si>
  <si>
    <t>User Story - Αναζήτηση λέξη-κλειδί</t>
  </si>
  <si>
    <t>Ως χρήστης θέλω να κάνω αναζήτηση άρθρων βάσει λέξης-κλειδιού (Keyword Search)</t>
  </si>
  <si>
    <t>1.Πεδίο αναζήτησης που ψάχνει στον τίτλο ή/και στο κείμενο των αποθηκευμένων άρθρων. 2.Επιστροφή σχετικών αποτελεσμάτων από τη Derby.</t>
  </si>
  <si>
    <t>(UserStory) - αποθήκευση άρθρου</t>
  </si>
  <si>
    <t>Ως χρήστης, θέλω να επιλέγω ένα άρθρο από τη λίστα αναζήτησης και να το αποθηκεύω, ώστε να το έχω διαθέσιμο μόνιμα στη βάση δεδομένων μου.</t>
  </si>
  <si>
    <t>1.Επιτυχής σύνδεση με βάση δεδομένων 2.Έλεγχος για υπαρξη των άρθρων 3.Υπάρχει κουμπί "Αποθήκευση" δίπλα ή κάτω από το επιλεγμένο άρθρο.</t>
  </si>
  <si>
    <t>(UserStory) - Προβολή αποθηκευμένων άρθρων</t>
  </si>
  <si>
    <t>Ως χρήστης θέλω να μπορώ να βλέπω τα αποθηκευμένα άρθρα ανά κατηγορία που έχω παλιότερα αποθηκεύσει.</t>
  </si>
  <si>
    <t>1.Εμφάνιση λίστας με τα άρθρα που υπάρχουν στη Derby. 2.Δίπλα σε κάθε άρθρο φαίνονται και Κατηγορία, Βαθμολογία. 3.Δυνατότητα επιλογής Κατηγορίας (Dropdown menu).</t>
  </si>
  <si>
    <t>(User Story) Προβολή αποτελεσμάτων αναζήτησης</t>
  </si>
  <si>
    <t>Ως χρήστης, θέλω να βλέπω τα αποτελέσματα της αναζήτησής μου σε λίστα στο περιβάλλον της εφαρμογής, ώστε να διαβάζω την περίληψη και να επιλέγω ποιο με ενδιαφέρει.</t>
  </si>
  <si>
    <t>1.Λίστα με τα αποτελέσματα που επιστρέφει το API. 2.Εμφανίζονται: Τίτλος, Snippet και Timestamp. 3.Αν η αναζήτηση δεν φέρει αποτελέσματα, εμφανίζεται μήνυμα "Δεν βρέθηκαν αποτελέσματα".</t>
  </si>
  <si>
    <t>(User Story) προβολή στατισικών</t>
  </si>
  <si>
    <t>Ως χρήστης, θέλω να βλέπω στατιστικά στοιχεία χρήσης.</t>
  </si>
  <si>
    <t>Παραγωγή Στατιστικών &amp; Εξαγωγή σε PDF</t>
  </si>
  <si>
    <t>Ως χρήστης, θέλω να εξάγω σε αρχείο PDF τα στατιστικά χρήσης, ώστε να έχω μια αναφορά των ενδιαφερόντων μου.</t>
  </si>
  <si>
    <t>1.Κουμπί "Εξαγωγή σε PDF". 2.Δημιουργία κλάσης που χρησιμοποιεί βιβλιοθήκη PDF 3.Το PDF περιέχει δύο πίνακες: Δημοφιλέστερες λέξεις-κλειδιά (από τον πίνακα ιστορικού) και Άρθρα ανά κατηγορία (από τον πίνακα άρθρων).</t>
  </si>
  <si>
    <t>GUI about</t>
  </si>
  <si>
    <t>Το παράθυρο με τα σχετικά στοιχεία της εφαρμογής.</t>
  </si>
  <si>
    <t>1.Περιλαμβάνει τους συμμετέχοντες 2.Γενικά στοιχεία εφαρμογής (έκδοση, έτος κτλ)</t>
  </si>
  <si>
    <t>1.Υπολογισμός και προβολή των πιο συχνών λέξεων-κλειδιών αναζήτησης (Απαιτεί να καταγράφετε το ιστορικό αναζητήσεων στη ΒΔ). 2.Υπολογισμός και προβολή πλήθους άρθρων ανά Κατηγορία. 3.Η λέξη κάθε αναζήτησης αποθηκεύεται αυτόματα στο ιστορικό αναζητήσεων στη ΒΔ</t>
  </si>
  <si>
    <t>S</t>
  </si>
  <si>
    <t>Κριτικός απολογισμός του έργου</t>
  </si>
  <si>
    <t>Δημιουργία Video παρουσίασης</t>
  </si>
  <si>
    <t>Συνολικός έλεγχος και εκτέλεση εφαρμογής</t>
  </si>
  <si>
    <t>Συγγραφή εργασίας</t>
  </si>
  <si>
    <t>S, NZ, NN</t>
  </si>
  <si>
    <t>Ημέρες Sprint</t>
  </si>
  <si>
    <t>Ιδανικό υπόλοιπο effort</t>
  </si>
  <si>
    <t>Πραγματικό υπόλοιπο effort</t>
  </si>
  <si>
    <t>1. Συνολική αποτίμηση του έργου (τι πήγε καλά και τι όχι συνολικά). 2. Ολοκλήρωση του Κεφαλαίου 4 της τελικής αναφοράς.</t>
  </si>
  <si>
    <t>1. Το βίντεο παρουσιάζει καθαρά τη λειτουργία του GUI, τη διασύνδεση με τη ΒΔ και περιπτώσεις χρήσης. 2. Η διάρκεια είναι εντός των ορίων της εκφώνησης. 3. Το αρχείο ανέβηκε στο YouTube ή σε άλλη  πλατφόρμα και το link δουλεύει..</t>
  </si>
  <si>
    <t>1. Η εφαρμογή κάνει build (Clean &amp; Build) στο NetBeans χωρίς σφάλματα. 2. Εκτελούνται επιτυχώς οι λειτουργίες R1 έως R5 χωρίς να "σκάει" το πρόγραμμα (Exceptions). 3. Το παραγόμενο αρχείο PDF εξάγεται και ανοίγει κανονικά.</t>
  </si>
  <si>
    <t>1. Το κείμενο ακολουθεί το Πρότυπο Συγγραφής. 2. Περιλαμβάνονται όλα τα απαιτούμενα διαγράμματα (Burndown, Class, ER). 3. Το παραδοτέο αρχείο zip/rar έχει τη σωστή ονομασία.</t>
  </si>
  <si>
    <t>Παραγωγή Javadoc</t>
  </si>
  <si>
    <t>s</t>
  </si>
  <si>
    <t>1. Προσθήκη σχολίων Javadoc στις βασικές κλάσεις και μεθόδους. 2. Επιτυχής παραγωγή των HTML αρχείων από το NetBeans.</t>
  </si>
  <si>
    <t>User Story - αναζήτηση άρθρου</t>
  </si>
  <si>
    <t>Ως χρήστης θέλω να κάνω αναζήτηση άρθρου με λέξεις κλειδιά και να μου επιστρέφει τα αποτελέσματα.‌</t>
  </si>
  <si>
    <t>Κριτικός Απολογισμός του Έργου</t>
  </si>
  <si>
    <t>1. Συζήτηση και καταγραφή του τι πήγε καλά και τι όχι στο τρέχον Sprint. 2. Καθορισμός ενέργειας βελτίωσης που θα εφαρμοστεί στο επόμενο Sprint. 3. Ενημέρωση του αρχείου Word της αναφοράς με τα συμπεράσματα.</t>
  </si>
  <si>
    <t>Απολογισμός sprint</t>
  </si>
  <si>
    <t>xxl</t>
  </si>
  <si>
    <t>m</t>
  </si>
  <si>
    <t>l</t>
  </si>
  <si>
    <t>Δημιουργία GUI αρχικού παραθύρου</t>
  </si>
  <si>
    <t>Τεχνική απαίτηση Διάγραμμα ER</t>
  </si>
  <si>
    <t>Διάγραμμα Entity-Relationship (ER)</t>
  </si>
  <si>
    <t>Τεχνική απαίτηση Βάσης Δεδομένων</t>
  </si>
  <si>
    <t>Σχεδιασμός &amp; Υλοποίηση Τοπικής Βάσης Δεδομένων (Derby)</t>
  </si>
  <si>
    <t>Τεχνική Απαίτηση - (Class Diagram) 1/2</t>
  </si>
  <si>
    <t>Συγκεντρωτικό Διάγραμμα Κλάσεων (UML)</t>
  </si>
  <si>
    <t>xl</t>
  </si>
  <si>
    <t>xxs</t>
  </si>
  <si>
    <t>Τεχνική Απαίτηση - (Class Diagram) 2/2</t>
  </si>
  <si>
    <t>Τεχνική απαίτηση - Άντληση δεδομένων και αξιοποίησή τους από ΒΔ</t>
  </si>
  <si>
    <t>Προσθήκη μεθόδων σε συνοριακή κλάση DBmanager για να αντλούνται αποθηκευμένα δεδομένα αλλά και να επεξεργάζονται πριν τη χρήση τους.‌</t>
  </si>
  <si>
    <t>1.JPQL queries για άντληση δεδομένων 2.Μέθοδοι για υπολογισμό και επεξεργασία αποθηκευμένων δεδομένων. 3. Ενσωμάτωση βάσης για ευελιξία.</t>
  </si>
  <si>
    <t>Γενικός απολογισμός</t>
  </si>
  <si>
    <t>Debugging</t>
  </si>
  <si>
    <t>Συγκέντρωση αρχείων για υποβολή</t>
  </si>
  <si>
    <t>Σχολιασμός κώδικα</t>
  </si>
  <si>
    <t>Παρουσίαση της εφαρμογής</t>
  </si>
  <si>
    <t>xs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</si>
</sst>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0"/>
  </numFmts>
  <fonts count="3" x14ac:knownFonts="1">
    <font>
      <sz val="11"/>
      <color theme="1"/>
      <name val="Calibri"/>
      <family val="2"/>
      <charset val="161"/>
      <scheme val="minor"/>
    </font>
    <font>
      <b/>
      <sz val="12"/>
      <color theme="1"/>
      <name val="Calibri"/>
      <family val="2"/>
      <charset val="161"/>
      <scheme val="minor"/>
    </font>
    <font>
      <b/>
      <sz val="11"/>
      <color theme="1"/>
      <name val="Calibri"/>
      <family val="2"/>
      <charset val="161"/>
      <scheme val="minor"/>
    </font>
  </fonts>
  <fills count="5">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4"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37">
    <xf numFmtId="0" fontId="0" fillId="0" borderId="0" xfId="0"/>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2" fillId="3" borderId="13" xfId="0" applyFont="1" applyFill="1" applyBorder="1" applyAlignment="1">
      <alignment horizontal="center" vertical="center"/>
    </xf>
    <xf numFmtId="0" fontId="1" fillId="3" borderId="11" xfId="0" applyFont="1" applyFill="1" applyBorder="1" applyAlignment="1">
      <alignment horizontal="center" vertical="center" wrapText="1"/>
    </xf>
    <xf numFmtId="0" fontId="2" fillId="2" borderId="11" xfId="0" quotePrefix="1" applyFont="1" applyFill="1" applyBorder="1" applyAlignment="1">
      <alignment horizontal="center" vertical="center"/>
    </xf>
    <xf numFmtId="0" fontId="1" fillId="4" borderId="14"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0" fillId="0" borderId="1"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xf>
    <xf numFmtId="0" fontId="0" fillId="0" borderId="2" xfId="0" applyBorder="1" applyAlignment="1">
      <alignment horizontal="center" vertical="center"/>
    </xf>
    <xf numFmtId="167" fontId="0" fillId="0" borderId="3" xfId="0" applyNumberForma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67" fontId="0" fillId="0" borderId="1" xfId="0" applyNumberFormat="1" applyBorder="1" applyAlignment="1">
      <alignment horizontal="center" vertical="center"/>
    </xf>
    <xf numFmtId="0" fontId="0" fillId="0" borderId="6" xfId="0" applyBorder="1" applyAlignment="1">
      <alignment horizontal="center" vertical="center"/>
    </xf>
    <xf numFmtId="0" fontId="0" fillId="0" borderId="20" xfId="0" applyBorder="1" applyAlignment="1">
      <alignment horizontal="center" vertical="center"/>
    </xf>
    <xf numFmtId="167" fontId="0" fillId="0" borderId="7" xfId="0" applyNumberFormat="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167" fontId="0" fillId="0" borderId="23" xfId="0" applyNumberFormat="1" applyBorder="1" applyAlignment="1">
      <alignment horizontal="center" vertical="center"/>
    </xf>
    <xf numFmtId="0" fontId="0" fillId="0" borderId="24"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l-GR" sz="1400" b="1" i="0" u="none" strike="noStrike" kern="1200" cap="none" baseline="0">
                <a:solidFill>
                  <a:sysClr val="window" lastClr="FFFFFF">
                    <a:lumMod val="85000"/>
                  </a:sysClr>
                </a:solidFill>
              </a:rPr>
              <a:t>Διάγραμμα Κατανάλωσης Προσπάθειας (</a:t>
            </a:r>
            <a:r>
              <a:rPr lang="en-US" sz="1400" b="1" i="0" u="none" strike="noStrike" kern="1200" cap="none" baseline="0">
                <a:solidFill>
                  <a:sysClr val="window" lastClr="FFFFFF">
                    <a:lumMod val="85000"/>
                  </a:sysClr>
                </a:solidFill>
              </a:rPr>
              <a:t>Burndown Chart) – Sprint 1</a:t>
            </a:r>
            <a:endParaRPr lang="el-GR" sz="1400" b="1" i="0" u="none" strike="noStrike" kern="1200" cap="none" baseline="0">
              <a:solidFill>
                <a:sysClr val="window" lastClr="FFFFFF">
                  <a:lumMod val="85000"/>
                </a:sysClr>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l-GR"/>
        </a:p>
      </c:txPr>
    </c:title>
    <c:autoTitleDeleted val="0"/>
    <c:plotArea>
      <c:layout/>
      <c:lineChart>
        <c:grouping val="standard"/>
        <c:varyColors val="0"/>
        <c:ser>
          <c:idx val="0"/>
          <c:order val="0"/>
          <c:tx>
            <c:strRef>
              <c:f>Sprint1!$C$11</c:f>
              <c:strCache>
                <c:ptCount val="1"/>
                <c:pt idx="0">
                  <c:v>Ιδανικό υπόλοιπο effort</c:v>
                </c:pt>
              </c:strCache>
            </c:strRef>
          </c:tx>
          <c:spPr>
            <a:ln w="22225" cap="rnd">
              <a:solidFill>
                <a:schemeClr val="accent1"/>
              </a:solidFill>
            </a:ln>
            <a:effectLst>
              <a:glow rad="139700">
                <a:schemeClr val="accent1">
                  <a:satMod val="175000"/>
                  <a:alpha val="14000"/>
                </a:schemeClr>
              </a:glow>
            </a:effectLst>
          </c:spPr>
          <c:marker>
            <c:symbol val="none"/>
          </c:marker>
          <c:cat>
            <c:numRef>
              <c:f>Sprint1!$B$12:$B$25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Sprint1!$C$12:$C$25</c:f>
              <c:numCache>
                <c:formatCode>0.0000</c:formatCode>
                <c:ptCount val="14"/>
                <c:pt idx="0">
                  <c:v>26.928571428571427</c:v>
                </c:pt>
                <c:pt idx="1">
                  <c:v>24.857142857142858</c:v>
                </c:pt>
                <c:pt idx="2">
                  <c:v>22.785714285714285</c:v>
                </c:pt>
                <c:pt idx="3">
                  <c:v>20.714285714285715</c:v>
                </c:pt>
                <c:pt idx="4">
                  <c:v>18.642857142857142</c:v>
                </c:pt>
                <c:pt idx="5">
                  <c:v>16.571428571428569</c:v>
                </c:pt>
                <c:pt idx="6">
                  <c:v>14.5</c:v>
                </c:pt>
                <c:pt idx="7">
                  <c:v>12.428571428571427</c:v>
                </c:pt>
                <c:pt idx="8">
                  <c:v>10.357142857142858</c:v>
                </c:pt>
                <c:pt idx="9">
                  <c:v>8.2857142857142847</c:v>
                </c:pt>
                <c:pt idx="10">
                  <c:v>6.2142857142857153</c:v>
                </c:pt>
                <c:pt idx="11">
                  <c:v>4.1428571428571423</c:v>
                </c:pt>
                <c:pt idx="12">
                  <c:v>2.071428571428573</c:v>
                </c:pt>
                <c:pt idx="13">
                  <c:v>0</c:v>
                </c:pt>
              </c:numCache>
            </c:numRef>
          </c:val>
          <c:smooth val="0"/>
          <c:extLst>
            <c:ext xmlns:c16="http://schemas.microsoft.com/office/drawing/2014/chart" uri="{C3380CC4-5D6E-409C-BE32-E72D297353CC}">
              <c16:uniqueId val="{00000000-0E21-445F-B7BB-04F7AF2AB865}"/>
            </c:ext>
          </c:extLst>
        </c:ser>
        <c:ser>
          <c:idx val="1"/>
          <c:order val="1"/>
          <c:tx>
            <c:strRef>
              <c:f>Sprint1!$D$11</c:f>
              <c:strCache>
                <c:ptCount val="1"/>
                <c:pt idx="0">
                  <c:v>Πραγματικό υπόλοιπο effort</c:v>
                </c:pt>
              </c:strCache>
            </c:strRef>
          </c:tx>
          <c:spPr>
            <a:ln w="22225" cap="rnd">
              <a:solidFill>
                <a:schemeClr val="accent2"/>
              </a:solidFill>
            </a:ln>
            <a:effectLst>
              <a:glow rad="139700">
                <a:schemeClr val="accent2">
                  <a:satMod val="175000"/>
                  <a:alpha val="14000"/>
                </a:schemeClr>
              </a:glow>
            </a:effectLst>
          </c:spPr>
          <c:marker>
            <c:symbol val="none"/>
          </c:marker>
          <c:cat>
            <c:numRef>
              <c:f>Sprint1!$B$12:$B$25</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Sprint1!$D$12:$D$25</c:f>
              <c:numCache>
                <c:formatCode>General</c:formatCode>
                <c:ptCount val="14"/>
                <c:pt idx="0">
                  <c:v>29</c:v>
                </c:pt>
                <c:pt idx="1">
                  <c:v>29</c:v>
                </c:pt>
                <c:pt idx="2">
                  <c:v>26</c:v>
                </c:pt>
                <c:pt idx="3">
                  <c:v>26</c:v>
                </c:pt>
                <c:pt idx="4">
                  <c:v>26</c:v>
                </c:pt>
                <c:pt idx="5">
                  <c:v>26</c:v>
                </c:pt>
                <c:pt idx="6">
                  <c:v>26</c:v>
                </c:pt>
                <c:pt idx="7">
                  <c:v>21</c:v>
                </c:pt>
                <c:pt idx="8">
                  <c:v>18</c:v>
                </c:pt>
                <c:pt idx="9">
                  <c:v>18</c:v>
                </c:pt>
                <c:pt idx="10">
                  <c:v>18</c:v>
                </c:pt>
                <c:pt idx="11">
                  <c:v>13</c:v>
                </c:pt>
                <c:pt idx="12">
                  <c:v>5</c:v>
                </c:pt>
                <c:pt idx="13">
                  <c:v>0</c:v>
                </c:pt>
              </c:numCache>
            </c:numRef>
          </c:val>
          <c:smooth val="0"/>
          <c:extLst>
            <c:ext xmlns:c16="http://schemas.microsoft.com/office/drawing/2014/chart" uri="{C3380CC4-5D6E-409C-BE32-E72D297353CC}">
              <c16:uniqueId val="{00000001-0E21-445F-B7BB-04F7AF2AB865}"/>
            </c:ext>
          </c:extLst>
        </c:ser>
        <c:dLbls>
          <c:showLegendKey val="0"/>
          <c:showVal val="0"/>
          <c:showCatName val="0"/>
          <c:showSerName val="0"/>
          <c:showPercent val="0"/>
          <c:showBubbleSize val="0"/>
        </c:dLbls>
        <c:smooth val="0"/>
        <c:axId val="411719240"/>
        <c:axId val="411717800"/>
      </c:lineChart>
      <c:catAx>
        <c:axId val="4117192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l-GR"/>
                  <a:t>Ημέρες</a:t>
                </a:r>
                <a:r>
                  <a:rPr lang="el-GR" baseline="0"/>
                  <a:t> </a:t>
                </a:r>
                <a:r>
                  <a:rPr lang="en-US" baseline="0"/>
                  <a:t>Sprint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l-G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l-GR"/>
          </a:p>
        </c:txPr>
        <c:crossAx val="411717800"/>
        <c:crosses val="autoZero"/>
        <c:auto val="1"/>
        <c:lblAlgn val="ctr"/>
        <c:lblOffset val="100"/>
        <c:noMultiLvlLbl val="0"/>
      </c:catAx>
      <c:valAx>
        <c:axId val="4117178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Effort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l-GR"/>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l-GR"/>
          </a:p>
        </c:txPr>
        <c:crossAx val="4117192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l-G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l-GR"/>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l-GR"/>
              <a:t>Διάγραμμα Κατανάλωσης Προσπάθειας (</a:t>
            </a:r>
            <a:r>
              <a:rPr lang="en-US"/>
              <a:t>Burndown Chart) – Sprint 2</a:t>
            </a:r>
            <a:endParaRPr lang="el-G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l-GR"/>
        </a:p>
      </c:txPr>
    </c:title>
    <c:autoTitleDeleted val="0"/>
    <c:plotArea>
      <c:layout/>
      <c:lineChart>
        <c:grouping val="standard"/>
        <c:varyColors val="0"/>
        <c:ser>
          <c:idx val="0"/>
          <c:order val="0"/>
          <c:tx>
            <c:strRef>
              <c:f>Sprint2!$C$16</c:f>
              <c:strCache>
                <c:ptCount val="1"/>
                <c:pt idx="0">
                  <c:v>Ιδανικό υπόλοιπο effort</c:v>
                </c:pt>
              </c:strCache>
            </c:strRef>
          </c:tx>
          <c:spPr>
            <a:ln w="22225" cap="rnd">
              <a:solidFill>
                <a:schemeClr val="accent1"/>
              </a:solidFill>
            </a:ln>
            <a:effectLst>
              <a:glow rad="139700">
                <a:schemeClr val="accent1">
                  <a:satMod val="175000"/>
                  <a:alpha val="14000"/>
                </a:schemeClr>
              </a:glow>
            </a:effectLst>
          </c:spPr>
          <c:marker>
            <c:symbol val="none"/>
          </c:marker>
          <c:cat>
            <c:numRef>
              <c:f>Sprint2!$B$17:$B$30</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Sprint2!$C$17:$C$30</c:f>
              <c:numCache>
                <c:formatCode>0.0000</c:formatCode>
                <c:ptCount val="14"/>
                <c:pt idx="0">
                  <c:v>36.214285714285715</c:v>
                </c:pt>
                <c:pt idx="1">
                  <c:v>33.428571428571431</c:v>
                </c:pt>
                <c:pt idx="2">
                  <c:v>30.642857142857142</c:v>
                </c:pt>
                <c:pt idx="3">
                  <c:v>27.857142857142858</c:v>
                </c:pt>
                <c:pt idx="4">
                  <c:v>25.071428571428569</c:v>
                </c:pt>
                <c:pt idx="5">
                  <c:v>22.285714285714285</c:v>
                </c:pt>
                <c:pt idx="6">
                  <c:v>19.5</c:v>
                </c:pt>
                <c:pt idx="7">
                  <c:v>16.714285714285715</c:v>
                </c:pt>
                <c:pt idx="8">
                  <c:v>13.928571428571427</c:v>
                </c:pt>
                <c:pt idx="9">
                  <c:v>11.142857142857142</c:v>
                </c:pt>
                <c:pt idx="10">
                  <c:v>8.3571428571428577</c:v>
                </c:pt>
                <c:pt idx="11">
                  <c:v>5.5714285714285694</c:v>
                </c:pt>
                <c:pt idx="12">
                  <c:v>2.7857142857142847</c:v>
                </c:pt>
                <c:pt idx="13">
                  <c:v>0</c:v>
                </c:pt>
              </c:numCache>
            </c:numRef>
          </c:val>
          <c:smooth val="0"/>
          <c:extLst>
            <c:ext xmlns:c16="http://schemas.microsoft.com/office/drawing/2014/chart" uri="{C3380CC4-5D6E-409C-BE32-E72D297353CC}">
              <c16:uniqueId val="{00000000-DBF1-4F53-89A4-CB84F4434A44}"/>
            </c:ext>
          </c:extLst>
        </c:ser>
        <c:ser>
          <c:idx val="1"/>
          <c:order val="1"/>
          <c:tx>
            <c:strRef>
              <c:f>Sprint2!$D$16</c:f>
              <c:strCache>
                <c:ptCount val="1"/>
                <c:pt idx="0">
                  <c:v>Πραγματικό υπόλοιπο effort</c:v>
                </c:pt>
              </c:strCache>
            </c:strRef>
          </c:tx>
          <c:spPr>
            <a:ln w="22225" cap="rnd">
              <a:solidFill>
                <a:schemeClr val="accent2"/>
              </a:solidFill>
            </a:ln>
            <a:effectLst>
              <a:glow rad="139700">
                <a:schemeClr val="accent2">
                  <a:satMod val="175000"/>
                  <a:alpha val="14000"/>
                </a:schemeClr>
              </a:glow>
            </a:effectLst>
          </c:spPr>
          <c:marker>
            <c:symbol val="none"/>
          </c:marker>
          <c:cat>
            <c:numRef>
              <c:f>Sprint2!$B$17:$B$30</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Sprint2!$D$17:$D$30</c:f>
              <c:numCache>
                <c:formatCode>General</c:formatCode>
                <c:ptCount val="14"/>
                <c:pt idx="0">
                  <c:v>39</c:v>
                </c:pt>
                <c:pt idx="1">
                  <c:v>36</c:v>
                </c:pt>
                <c:pt idx="2">
                  <c:v>36</c:v>
                </c:pt>
                <c:pt idx="3">
                  <c:v>36</c:v>
                </c:pt>
                <c:pt idx="4">
                  <c:v>33</c:v>
                </c:pt>
                <c:pt idx="5">
                  <c:v>33</c:v>
                </c:pt>
                <c:pt idx="6">
                  <c:v>22</c:v>
                </c:pt>
                <c:pt idx="7">
                  <c:v>22</c:v>
                </c:pt>
                <c:pt idx="8">
                  <c:v>22</c:v>
                </c:pt>
                <c:pt idx="9">
                  <c:v>22</c:v>
                </c:pt>
                <c:pt idx="10">
                  <c:v>22</c:v>
                </c:pt>
                <c:pt idx="11">
                  <c:v>14</c:v>
                </c:pt>
                <c:pt idx="12">
                  <c:v>9</c:v>
                </c:pt>
                <c:pt idx="13">
                  <c:v>0</c:v>
                </c:pt>
              </c:numCache>
            </c:numRef>
          </c:val>
          <c:smooth val="0"/>
          <c:extLst>
            <c:ext xmlns:c16="http://schemas.microsoft.com/office/drawing/2014/chart" uri="{C3380CC4-5D6E-409C-BE32-E72D297353CC}">
              <c16:uniqueId val="{00000001-DBF1-4F53-89A4-CB84F4434A44}"/>
            </c:ext>
          </c:extLst>
        </c:ser>
        <c:dLbls>
          <c:showLegendKey val="0"/>
          <c:showVal val="0"/>
          <c:showCatName val="0"/>
          <c:showSerName val="0"/>
          <c:showPercent val="0"/>
          <c:showBubbleSize val="0"/>
        </c:dLbls>
        <c:smooth val="0"/>
        <c:axId val="102311952"/>
        <c:axId val="102313752"/>
      </c:lineChart>
      <c:catAx>
        <c:axId val="1023119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l-GR"/>
                  <a:t>Ημέρες </a:t>
                </a:r>
                <a:r>
                  <a:rPr lang="en-US"/>
                  <a:t>Sprint</a:t>
                </a:r>
                <a:endParaRPr lang="el-G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l-G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l-GR"/>
          </a:p>
        </c:txPr>
        <c:crossAx val="102313752"/>
        <c:crosses val="autoZero"/>
        <c:auto val="1"/>
        <c:lblAlgn val="ctr"/>
        <c:lblOffset val="100"/>
        <c:noMultiLvlLbl val="0"/>
      </c:catAx>
      <c:valAx>
        <c:axId val="1023137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Effort</a:t>
                </a:r>
                <a:endParaRPr lang="el-G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l-GR"/>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l-GR"/>
          </a:p>
        </c:txPr>
        <c:crossAx val="102311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l-G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l-GR" sz="1400" b="1" i="0" u="none" strike="noStrike" kern="1200" cap="none" baseline="0">
                <a:solidFill>
                  <a:sysClr val="window" lastClr="FFFFFF">
                    <a:lumMod val="85000"/>
                  </a:sysClr>
                </a:solidFill>
              </a:rPr>
              <a:t>Διάγραμμα Κατανάλωσης Προσπάθειας (</a:t>
            </a:r>
            <a:r>
              <a:rPr lang="en-US" sz="1400" b="1" i="0" u="none" strike="noStrike" kern="1200" cap="none" baseline="0">
                <a:solidFill>
                  <a:sysClr val="window" lastClr="FFFFFF">
                    <a:lumMod val="85000"/>
                  </a:sysClr>
                </a:solidFill>
              </a:rPr>
              <a:t>Burndown Chart) – Sprint </a:t>
            </a:r>
            <a:r>
              <a:rPr lang="el-GR" sz="1400" b="1" i="0" u="none" strike="noStrike" kern="1200" cap="none" baseline="0">
                <a:solidFill>
                  <a:sysClr val="window" lastClr="FFFFFF">
                    <a:lumMod val="85000"/>
                  </a:sysClr>
                </a:solidFill>
              </a:rPr>
              <a:t>3</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l-GR"/>
        </a:p>
      </c:txPr>
    </c:title>
    <c:autoTitleDeleted val="0"/>
    <c:plotArea>
      <c:layout/>
      <c:lineChart>
        <c:grouping val="standard"/>
        <c:varyColors val="0"/>
        <c:ser>
          <c:idx val="0"/>
          <c:order val="0"/>
          <c:tx>
            <c:strRef>
              <c:f>Sprint3!$C$10</c:f>
              <c:strCache>
                <c:ptCount val="1"/>
                <c:pt idx="0">
                  <c:v>Ιδανικό υπόλοιπο effort</c:v>
                </c:pt>
              </c:strCache>
            </c:strRef>
          </c:tx>
          <c:spPr>
            <a:ln w="22225" cap="rnd">
              <a:solidFill>
                <a:schemeClr val="accent1"/>
              </a:solidFill>
            </a:ln>
            <a:effectLst>
              <a:glow rad="139700">
                <a:schemeClr val="accent1">
                  <a:satMod val="175000"/>
                  <a:alpha val="14000"/>
                </a:schemeClr>
              </a:glow>
            </a:effectLst>
          </c:spPr>
          <c:marker>
            <c:symbol val="none"/>
          </c:marker>
          <c:cat>
            <c:numRef>
              <c:f>Sprint3!$B$11:$B$27</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Sprint3!$C$11:$C$27</c:f>
              <c:numCache>
                <c:formatCode>0.0000</c:formatCode>
                <c:ptCount val="17"/>
                <c:pt idx="0">
                  <c:v>34.823529411764703</c:v>
                </c:pt>
                <c:pt idx="1">
                  <c:v>32.647058823529413</c:v>
                </c:pt>
                <c:pt idx="2">
                  <c:v>30.470588235294116</c:v>
                </c:pt>
                <c:pt idx="3">
                  <c:v>28.294117647058826</c:v>
                </c:pt>
                <c:pt idx="4">
                  <c:v>26.117647058823529</c:v>
                </c:pt>
                <c:pt idx="5">
                  <c:v>23.941176470588236</c:v>
                </c:pt>
                <c:pt idx="6">
                  <c:v>21.764705882352942</c:v>
                </c:pt>
                <c:pt idx="7">
                  <c:v>19.588235294117649</c:v>
                </c:pt>
                <c:pt idx="8">
                  <c:v>17.411764705882351</c:v>
                </c:pt>
                <c:pt idx="9">
                  <c:v>15.235294117647058</c:v>
                </c:pt>
                <c:pt idx="10">
                  <c:v>13.058823529411764</c:v>
                </c:pt>
                <c:pt idx="11">
                  <c:v>10.882352941176471</c:v>
                </c:pt>
                <c:pt idx="12">
                  <c:v>8.7058823529411775</c:v>
                </c:pt>
                <c:pt idx="13">
                  <c:v>6.529411764705884</c:v>
                </c:pt>
                <c:pt idx="14">
                  <c:v>4.352941176470587</c:v>
                </c:pt>
                <c:pt idx="15">
                  <c:v>2.176470588235297</c:v>
                </c:pt>
                <c:pt idx="16">
                  <c:v>0</c:v>
                </c:pt>
              </c:numCache>
            </c:numRef>
          </c:val>
          <c:smooth val="0"/>
          <c:extLst>
            <c:ext xmlns:c16="http://schemas.microsoft.com/office/drawing/2014/chart" uri="{C3380CC4-5D6E-409C-BE32-E72D297353CC}">
              <c16:uniqueId val="{00000000-21D8-4543-A901-06A42092DB68}"/>
            </c:ext>
          </c:extLst>
        </c:ser>
        <c:ser>
          <c:idx val="1"/>
          <c:order val="1"/>
          <c:tx>
            <c:strRef>
              <c:f>Sprint3!$D$10</c:f>
              <c:strCache>
                <c:ptCount val="1"/>
                <c:pt idx="0">
                  <c:v>Πραγματικό υπόλοιπο effort</c:v>
                </c:pt>
              </c:strCache>
            </c:strRef>
          </c:tx>
          <c:spPr>
            <a:ln w="22225" cap="rnd">
              <a:solidFill>
                <a:schemeClr val="accent2"/>
              </a:solidFill>
            </a:ln>
            <a:effectLst>
              <a:glow rad="139700">
                <a:schemeClr val="accent2">
                  <a:satMod val="175000"/>
                  <a:alpha val="14000"/>
                </a:schemeClr>
              </a:glow>
            </a:effectLst>
          </c:spPr>
          <c:marker>
            <c:symbol val="none"/>
          </c:marker>
          <c:cat>
            <c:numRef>
              <c:f>Sprint3!$B$11:$B$27</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Sprint3!$D$11:$D$27</c:f>
              <c:numCache>
                <c:formatCode>General</c:formatCode>
                <c:ptCount val="17"/>
                <c:pt idx="0">
                  <c:v>37</c:v>
                </c:pt>
                <c:pt idx="1">
                  <c:v>37</c:v>
                </c:pt>
                <c:pt idx="2">
                  <c:v>37</c:v>
                </c:pt>
                <c:pt idx="3">
                  <c:v>24</c:v>
                </c:pt>
                <c:pt idx="4">
                  <c:v>13</c:v>
                </c:pt>
                <c:pt idx="5">
                  <c:v>13</c:v>
                </c:pt>
                <c:pt idx="6">
                  <c:v>8</c:v>
                </c:pt>
                <c:pt idx="7">
                  <c:v>8</c:v>
                </c:pt>
                <c:pt idx="8">
                  <c:v>8</c:v>
                </c:pt>
                <c:pt idx="9">
                  <c:v>0</c:v>
                </c:pt>
                <c:pt idx="10">
                  <c:v>0</c:v>
                </c:pt>
                <c:pt idx="11">
                  <c:v>0</c:v>
                </c:pt>
                <c:pt idx="12">
                  <c:v>0</c:v>
                </c:pt>
                <c:pt idx="13">
                  <c:v>0</c:v>
                </c:pt>
                <c:pt idx="14">
                  <c:v>0</c:v>
                </c:pt>
                <c:pt idx="15">
                  <c:v>0</c:v>
                </c:pt>
                <c:pt idx="16">
                  <c:v>0</c:v>
                </c:pt>
              </c:numCache>
            </c:numRef>
          </c:val>
          <c:smooth val="0"/>
          <c:extLst>
            <c:ext xmlns:c16="http://schemas.microsoft.com/office/drawing/2014/chart" uri="{C3380CC4-5D6E-409C-BE32-E72D297353CC}">
              <c16:uniqueId val="{00000001-21D8-4543-A901-06A42092DB68}"/>
            </c:ext>
          </c:extLst>
        </c:ser>
        <c:dLbls>
          <c:showLegendKey val="0"/>
          <c:showVal val="0"/>
          <c:showCatName val="0"/>
          <c:showSerName val="0"/>
          <c:showPercent val="0"/>
          <c:showBubbleSize val="0"/>
        </c:dLbls>
        <c:smooth val="0"/>
        <c:axId val="512210256"/>
        <c:axId val="512207016"/>
      </c:lineChart>
      <c:catAx>
        <c:axId val="5122102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l-GR"/>
                  <a:t>Ημέρες</a:t>
                </a:r>
                <a:r>
                  <a:rPr lang="el-GR" baseline="0"/>
                  <a:t> </a:t>
                </a:r>
                <a:r>
                  <a:rPr lang="en-US" baseline="0"/>
                  <a:t>Sprint</a:t>
                </a:r>
                <a:endParaRPr lang="el-G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l-G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l-GR"/>
          </a:p>
        </c:txPr>
        <c:crossAx val="512207016"/>
        <c:crosses val="autoZero"/>
        <c:auto val="1"/>
        <c:lblAlgn val="ctr"/>
        <c:lblOffset val="100"/>
        <c:noMultiLvlLbl val="0"/>
      </c:catAx>
      <c:valAx>
        <c:axId val="5122070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Effort</a:t>
                </a:r>
                <a:endParaRPr lang="el-G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l-GR"/>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l-GR"/>
          </a:p>
        </c:txPr>
        <c:crossAx val="512210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l-G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9525</xdr:colOff>
      <xdr:row>10</xdr:row>
      <xdr:rowOff>4108</xdr:rowOff>
    </xdr:from>
    <xdr:to>
      <xdr:col>8</xdr:col>
      <xdr:colOff>2962325</xdr:colOff>
      <xdr:row>24</xdr:row>
      <xdr:rowOff>90108</xdr:rowOff>
    </xdr:to>
    <xdr:graphicFrame macro="">
      <xdr:nvGraphicFramePr>
        <xdr:cNvPr id="3" name="Γράφημα 2">
          <a:extLst>
            <a:ext uri="{FF2B5EF4-FFF2-40B4-BE49-F238E27FC236}">
              <a16:creationId xmlns:a16="http://schemas.microsoft.com/office/drawing/2014/main" id="{F7907D4A-41BB-04A8-B7E2-122B110BA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9897</xdr:colOff>
      <xdr:row>15</xdr:row>
      <xdr:rowOff>14006</xdr:rowOff>
    </xdr:from>
    <xdr:to>
      <xdr:col>8</xdr:col>
      <xdr:colOff>2962697</xdr:colOff>
      <xdr:row>29</xdr:row>
      <xdr:rowOff>100006</xdr:rowOff>
    </xdr:to>
    <xdr:graphicFrame macro="">
      <xdr:nvGraphicFramePr>
        <xdr:cNvPr id="2" name="Γράφημα 1">
          <a:extLst>
            <a:ext uri="{FF2B5EF4-FFF2-40B4-BE49-F238E27FC236}">
              <a16:creationId xmlns:a16="http://schemas.microsoft.com/office/drawing/2014/main" id="{21756ABB-4889-D694-80CD-A97AD7CC1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2427</xdr:colOff>
      <xdr:row>8</xdr:row>
      <xdr:rowOff>173878</xdr:rowOff>
    </xdr:from>
    <xdr:to>
      <xdr:col>8</xdr:col>
      <xdr:colOff>2955227</xdr:colOff>
      <xdr:row>23</xdr:row>
      <xdr:rowOff>69378</xdr:rowOff>
    </xdr:to>
    <xdr:graphicFrame macro="">
      <xdr:nvGraphicFramePr>
        <xdr:cNvPr id="2" name="Γράφημα 1">
          <a:extLst>
            <a:ext uri="{FF2B5EF4-FFF2-40B4-BE49-F238E27FC236}">
              <a16:creationId xmlns:a16="http://schemas.microsoft.com/office/drawing/2014/main" id="{93E0C061-8548-1DC2-CB01-8253774F6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3F6ED-CBEF-40C9-A0F2-2F87B4C8579D}">
  <sheetPr>
    <pageSetUpPr fitToPage="1"/>
  </sheetPr>
  <dimension ref="B1:N25"/>
  <sheetViews>
    <sheetView tabSelected="1" zoomScaleNormal="100" workbookViewId="0">
      <selection activeCell="B2" sqref="B2"/>
    </sheetView>
  </sheetViews>
  <sheetFormatPr defaultRowHeight="14.5" x14ac:dyDescent="0.35"/>
  <cols>
    <col min="1" max="1" width="1.6328125" customWidth="1"/>
    <col min="2" max="2" width="9.6328125" customWidth="1"/>
    <col min="3" max="4" width="30.6328125" customWidth="1"/>
    <col min="5" max="5" width="6.08984375" bestFit="1" customWidth="1"/>
    <col min="6" max="6" width="7.6328125" bestFit="1" customWidth="1"/>
    <col min="7" max="7" width="6.26953125" bestFit="1" customWidth="1"/>
    <col min="8" max="8" width="10.81640625" bestFit="1" customWidth="1"/>
    <col min="9" max="9" width="50.54296875" customWidth="1"/>
    <col min="11" max="11" width="11.7265625" style="19" customWidth="1"/>
    <col min="12" max="12" width="11.6328125" style="19" customWidth="1"/>
    <col min="13" max="13" width="12.90625" style="19" customWidth="1"/>
    <col min="15" max="15" width="11.54296875" customWidth="1"/>
  </cols>
  <sheetData>
    <row r="1" spans="2:14" ht="7" customHeight="1" thickBot="1" x14ac:dyDescent="0.4"/>
    <row r="2" spans="2:14" ht="16" thickBot="1" x14ac:dyDescent="0.4">
      <c r="B2" s="7" t="s">
        <v>11</v>
      </c>
      <c r="C2" s="8" t="s">
        <v>0</v>
      </c>
      <c r="D2" s="8" t="s">
        <v>1</v>
      </c>
      <c r="E2" s="8" t="s">
        <v>2</v>
      </c>
      <c r="F2" s="8" t="s">
        <v>12</v>
      </c>
      <c r="G2" s="8" t="s">
        <v>3</v>
      </c>
      <c r="H2" s="8" t="s">
        <v>4</v>
      </c>
      <c r="I2" s="9" t="s">
        <v>5</v>
      </c>
      <c r="K2" s="12" t="s">
        <v>19</v>
      </c>
      <c r="L2" s="10" t="s">
        <v>18</v>
      </c>
      <c r="N2" s="20"/>
    </row>
    <row r="3" spans="2:14" ht="58.5" thickBot="1" x14ac:dyDescent="0.4">
      <c r="B3" s="2">
        <v>1</v>
      </c>
      <c r="C3" s="3" t="s">
        <v>60</v>
      </c>
      <c r="D3" s="3" t="s">
        <v>61</v>
      </c>
      <c r="E3" s="3">
        <v>3</v>
      </c>
      <c r="F3" s="3" t="s">
        <v>65</v>
      </c>
      <c r="G3" s="3">
        <v>1</v>
      </c>
      <c r="H3" s="3" t="s">
        <v>8</v>
      </c>
      <c r="I3" s="4" t="s">
        <v>13</v>
      </c>
      <c r="K3" s="11">
        <v>29</v>
      </c>
      <c r="L3" s="13">
        <v>29</v>
      </c>
    </row>
    <row r="4" spans="2:14" ht="29" x14ac:dyDescent="0.35">
      <c r="B4" s="5">
        <v>2</v>
      </c>
      <c r="C4" s="1" t="s">
        <v>6</v>
      </c>
      <c r="D4" s="1" t="s">
        <v>68</v>
      </c>
      <c r="E4" s="1">
        <v>8</v>
      </c>
      <c r="F4" s="1" t="s">
        <v>66</v>
      </c>
      <c r="G4" s="1">
        <v>1</v>
      </c>
      <c r="H4" s="1" t="s">
        <v>9</v>
      </c>
      <c r="I4" s="6" t="s">
        <v>17</v>
      </c>
    </row>
    <row r="5" spans="2:14" ht="29" x14ac:dyDescent="0.35">
      <c r="B5" s="5">
        <v>3</v>
      </c>
      <c r="C5" s="1" t="s">
        <v>69</v>
      </c>
      <c r="D5" s="1" t="s">
        <v>70</v>
      </c>
      <c r="E5" s="1">
        <v>5</v>
      </c>
      <c r="F5" s="1" t="s">
        <v>65</v>
      </c>
      <c r="G5" s="1">
        <v>1</v>
      </c>
      <c r="H5" s="1" t="s">
        <v>10</v>
      </c>
      <c r="I5" s="6" t="s">
        <v>16</v>
      </c>
    </row>
    <row r="6" spans="2:14" ht="43.5" x14ac:dyDescent="0.35">
      <c r="B6" s="5">
        <v>4</v>
      </c>
      <c r="C6" s="1" t="s">
        <v>71</v>
      </c>
      <c r="D6" s="1" t="s">
        <v>72</v>
      </c>
      <c r="E6" s="1">
        <v>5</v>
      </c>
      <c r="F6" s="1" t="s">
        <v>65</v>
      </c>
      <c r="G6" s="1">
        <v>1</v>
      </c>
      <c r="H6" s="1" t="s">
        <v>10</v>
      </c>
      <c r="I6" s="6" t="s">
        <v>15</v>
      </c>
    </row>
    <row r="7" spans="2:14" ht="29" x14ac:dyDescent="0.35">
      <c r="B7" s="5">
        <v>5</v>
      </c>
      <c r="C7" s="1" t="s">
        <v>73</v>
      </c>
      <c r="D7" s="1" t="s">
        <v>74</v>
      </c>
      <c r="E7" s="1">
        <v>3</v>
      </c>
      <c r="F7" s="1" t="s">
        <v>65</v>
      </c>
      <c r="G7" s="1">
        <v>1</v>
      </c>
      <c r="H7" s="1" t="s">
        <v>8</v>
      </c>
      <c r="I7" s="6" t="s">
        <v>14</v>
      </c>
    </row>
    <row r="8" spans="2:14" ht="58.5" thickBot="1" x14ac:dyDescent="0.4">
      <c r="B8" s="21">
        <v>6</v>
      </c>
      <c r="C8" s="22" t="s">
        <v>62</v>
      </c>
      <c r="D8" s="22" t="s">
        <v>64</v>
      </c>
      <c r="E8" s="22">
        <v>5</v>
      </c>
      <c r="F8" s="22" t="s">
        <v>67</v>
      </c>
      <c r="G8" s="22">
        <v>1</v>
      </c>
      <c r="H8" s="22" t="s">
        <v>44</v>
      </c>
      <c r="I8" s="23" t="s">
        <v>63</v>
      </c>
    </row>
    <row r="10" spans="2:14" ht="15" thickBot="1" x14ac:dyDescent="0.4"/>
    <row r="11" spans="2:14" ht="31.5" thickBot="1" x14ac:dyDescent="0.4">
      <c r="B11" s="7" t="s">
        <v>50</v>
      </c>
      <c r="C11" s="8" t="s">
        <v>51</v>
      </c>
      <c r="D11" s="9" t="s">
        <v>52</v>
      </c>
    </row>
    <row r="12" spans="2:14" x14ac:dyDescent="0.35">
      <c r="B12" s="25">
        <v>1</v>
      </c>
      <c r="C12" s="26">
        <f>$K$3 - B12*$K$3/14</f>
        <v>26.928571428571427</v>
      </c>
      <c r="D12" s="27">
        <v>29</v>
      </c>
    </row>
    <row r="13" spans="2:14" x14ac:dyDescent="0.35">
      <c r="B13" s="28">
        <v>2</v>
      </c>
      <c r="C13" s="29">
        <f>$K$3 - B13*$K$3/14</f>
        <v>24.857142857142858</v>
      </c>
      <c r="D13" s="30">
        <v>29</v>
      </c>
    </row>
    <row r="14" spans="2:14" x14ac:dyDescent="0.35">
      <c r="B14" s="28">
        <v>3</v>
      </c>
      <c r="C14" s="29">
        <f>$K$3 - B14*$K$3/14</f>
        <v>22.785714285714285</v>
      </c>
      <c r="D14" s="30">
        <v>26</v>
      </c>
    </row>
    <row r="15" spans="2:14" x14ac:dyDescent="0.35">
      <c r="B15" s="28">
        <v>4</v>
      </c>
      <c r="C15" s="29">
        <f>$K$3 - B15*$K$3/14</f>
        <v>20.714285714285715</v>
      </c>
      <c r="D15" s="30">
        <v>26</v>
      </c>
    </row>
    <row r="16" spans="2:14" x14ac:dyDescent="0.35">
      <c r="B16" s="28">
        <v>5</v>
      </c>
      <c r="C16" s="29">
        <f>$K$3 - B16*$K$3/14</f>
        <v>18.642857142857142</v>
      </c>
      <c r="D16" s="30">
        <v>26</v>
      </c>
    </row>
    <row r="17" spans="2:4" x14ac:dyDescent="0.35">
      <c r="B17" s="28">
        <v>6</v>
      </c>
      <c r="C17" s="29">
        <f>$K$3 - B17*$K$3/14</f>
        <v>16.571428571428569</v>
      </c>
      <c r="D17" s="30">
        <v>26</v>
      </c>
    </row>
    <row r="18" spans="2:4" x14ac:dyDescent="0.35">
      <c r="B18" s="28">
        <v>7</v>
      </c>
      <c r="C18" s="29">
        <f>$K$3 - B18*$K$3/14</f>
        <v>14.5</v>
      </c>
      <c r="D18" s="30">
        <v>26</v>
      </c>
    </row>
    <row r="19" spans="2:4" x14ac:dyDescent="0.35">
      <c r="B19" s="28">
        <v>8</v>
      </c>
      <c r="C19" s="29">
        <f>$K$3 - B19*$K$3/14</f>
        <v>12.428571428571427</v>
      </c>
      <c r="D19" s="30">
        <v>21</v>
      </c>
    </row>
    <row r="20" spans="2:4" x14ac:dyDescent="0.35">
      <c r="B20" s="28">
        <v>9</v>
      </c>
      <c r="C20" s="29">
        <f>$K$3 - B20*$K$3/14</f>
        <v>10.357142857142858</v>
      </c>
      <c r="D20" s="30">
        <v>18</v>
      </c>
    </row>
    <row r="21" spans="2:4" x14ac:dyDescent="0.35">
      <c r="B21" s="28">
        <v>10</v>
      </c>
      <c r="C21" s="29">
        <f>$K$3 - B21*$K$3/14</f>
        <v>8.2857142857142847</v>
      </c>
      <c r="D21" s="30">
        <v>18</v>
      </c>
    </row>
    <row r="22" spans="2:4" x14ac:dyDescent="0.35">
      <c r="B22" s="28">
        <v>11</v>
      </c>
      <c r="C22" s="29">
        <f>$K$3 - B22*$K$3/14</f>
        <v>6.2142857142857153</v>
      </c>
      <c r="D22" s="30">
        <v>18</v>
      </c>
    </row>
    <row r="23" spans="2:4" x14ac:dyDescent="0.35">
      <c r="B23" s="28">
        <v>12</v>
      </c>
      <c r="C23" s="29">
        <f>$K$3 - B23*$K$3/14</f>
        <v>4.1428571428571423</v>
      </c>
      <c r="D23" s="30">
        <v>13</v>
      </c>
    </row>
    <row r="24" spans="2:4" x14ac:dyDescent="0.35">
      <c r="B24" s="28">
        <v>13</v>
      </c>
      <c r="C24" s="29">
        <f>$K$3 - B24*$K$3/14</f>
        <v>2.071428571428573</v>
      </c>
      <c r="D24" s="30">
        <v>5</v>
      </c>
    </row>
    <row r="25" spans="2:4" ht="15" thickBot="1" x14ac:dyDescent="0.4">
      <c r="B25" s="31">
        <v>14</v>
      </c>
      <c r="C25" s="32">
        <f>$K$3 - B25*$K$3/14</f>
        <v>0</v>
      </c>
      <c r="D25" s="33">
        <v>0</v>
      </c>
    </row>
  </sheetData>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1DE6-5C94-465A-A16B-EB70285EAF01}">
  <sheetPr>
    <pageSetUpPr fitToPage="1"/>
  </sheetPr>
  <dimension ref="B1:N30"/>
  <sheetViews>
    <sheetView zoomScaleNormal="100" workbookViewId="0">
      <selection activeCell="B2" sqref="B2"/>
    </sheetView>
  </sheetViews>
  <sheetFormatPr defaultRowHeight="14.5" x14ac:dyDescent="0.35"/>
  <cols>
    <col min="1" max="1" width="1.7265625" customWidth="1"/>
    <col min="2" max="2" width="9.6328125" customWidth="1"/>
    <col min="3" max="3" width="30.6328125" customWidth="1"/>
    <col min="4" max="4" width="50.6328125" style="19" customWidth="1"/>
    <col min="5" max="5" width="6.08984375" bestFit="1" customWidth="1"/>
    <col min="6" max="6" width="7.6328125" bestFit="1" customWidth="1"/>
    <col min="7" max="7" width="6.26953125" bestFit="1" customWidth="1"/>
    <col min="8" max="8" width="10.81640625" bestFit="1" customWidth="1"/>
    <col min="9" max="9" width="50.6328125" customWidth="1"/>
    <col min="11" max="12" width="11.6328125" style="19" customWidth="1"/>
    <col min="13" max="13" width="12.90625" style="19" customWidth="1"/>
    <col min="14" max="14" width="10.54296875" style="19" customWidth="1"/>
    <col min="15" max="15" width="11.54296875" customWidth="1"/>
  </cols>
  <sheetData>
    <row r="1" spans="2:14" ht="7" customHeight="1" thickBot="1" x14ac:dyDescent="0.4"/>
    <row r="2" spans="2:14" ht="16" thickBot="1" x14ac:dyDescent="0.4">
      <c r="B2" s="14" t="s">
        <v>11</v>
      </c>
      <c r="C2" s="15" t="s">
        <v>0</v>
      </c>
      <c r="D2" s="15" t="s">
        <v>1</v>
      </c>
      <c r="E2" s="15" t="s">
        <v>2</v>
      </c>
      <c r="F2" s="15" t="s">
        <v>12</v>
      </c>
      <c r="G2" s="15" t="s">
        <v>3</v>
      </c>
      <c r="H2" s="15" t="s">
        <v>4</v>
      </c>
      <c r="I2" s="16" t="s">
        <v>5</v>
      </c>
      <c r="K2" s="12" t="s">
        <v>19</v>
      </c>
      <c r="L2" s="10" t="s">
        <v>18</v>
      </c>
      <c r="N2" s="20"/>
    </row>
    <row r="3" spans="2:14" ht="58.5" thickBot="1" x14ac:dyDescent="0.4">
      <c r="B3" s="2">
        <v>1</v>
      </c>
      <c r="C3" s="3" t="s">
        <v>20</v>
      </c>
      <c r="D3" s="3" t="s">
        <v>21</v>
      </c>
      <c r="E3" s="3">
        <v>3</v>
      </c>
      <c r="F3" s="3" t="s">
        <v>75</v>
      </c>
      <c r="G3" s="3">
        <v>2</v>
      </c>
      <c r="H3" s="3" t="s">
        <v>8</v>
      </c>
      <c r="I3" s="4" t="s">
        <v>22</v>
      </c>
      <c r="K3" s="11">
        <v>39</v>
      </c>
      <c r="L3" s="13">
        <v>39</v>
      </c>
    </row>
    <row r="4" spans="2:14" ht="43.5" x14ac:dyDescent="0.35">
      <c r="B4" s="5">
        <v>2</v>
      </c>
      <c r="C4" s="1" t="s">
        <v>23</v>
      </c>
      <c r="D4" s="1" t="s">
        <v>24</v>
      </c>
      <c r="E4" s="1">
        <v>3</v>
      </c>
      <c r="F4" s="1" t="s">
        <v>65</v>
      </c>
      <c r="G4" s="1">
        <v>2</v>
      </c>
      <c r="H4" s="1" t="s">
        <v>44</v>
      </c>
      <c r="I4" s="6" t="s">
        <v>25</v>
      </c>
    </row>
    <row r="5" spans="2:14" ht="43.5" x14ac:dyDescent="0.35">
      <c r="B5" s="5">
        <v>3</v>
      </c>
      <c r="C5" s="1" t="s">
        <v>26</v>
      </c>
      <c r="D5" s="1" t="s">
        <v>27</v>
      </c>
      <c r="E5" s="1">
        <v>3</v>
      </c>
      <c r="F5" s="1" t="s">
        <v>67</v>
      </c>
      <c r="G5" s="1">
        <v>2</v>
      </c>
      <c r="H5" s="1" t="s">
        <v>44</v>
      </c>
      <c r="I5" s="6" t="s">
        <v>28</v>
      </c>
    </row>
    <row r="6" spans="2:14" ht="58" x14ac:dyDescent="0.35">
      <c r="B6" s="5">
        <v>4</v>
      </c>
      <c r="C6" s="1" t="s">
        <v>29</v>
      </c>
      <c r="D6" s="1" t="s">
        <v>30</v>
      </c>
      <c r="E6" s="1">
        <v>3</v>
      </c>
      <c r="F6" s="1" t="s">
        <v>67</v>
      </c>
      <c r="G6" s="1">
        <v>2</v>
      </c>
      <c r="H6" s="1" t="s">
        <v>9</v>
      </c>
      <c r="I6" s="6" t="s">
        <v>31</v>
      </c>
    </row>
    <row r="7" spans="2:14" ht="58" x14ac:dyDescent="0.35">
      <c r="B7" s="5">
        <v>5</v>
      </c>
      <c r="C7" s="1" t="s">
        <v>32</v>
      </c>
      <c r="D7" s="1" t="s">
        <v>33</v>
      </c>
      <c r="E7" s="1">
        <v>3</v>
      </c>
      <c r="F7" s="1" t="s">
        <v>66</v>
      </c>
      <c r="G7" s="1">
        <v>2</v>
      </c>
      <c r="H7" s="1" t="s">
        <v>9</v>
      </c>
      <c r="I7" s="6" t="s">
        <v>34</v>
      </c>
    </row>
    <row r="8" spans="2:14" ht="87" x14ac:dyDescent="0.35">
      <c r="B8" s="5">
        <v>6</v>
      </c>
      <c r="C8" s="1" t="s">
        <v>35</v>
      </c>
      <c r="D8" s="1" t="s">
        <v>36</v>
      </c>
      <c r="E8" s="1">
        <v>5</v>
      </c>
      <c r="F8" s="17" t="s">
        <v>66</v>
      </c>
      <c r="G8" s="1">
        <v>2</v>
      </c>
      <c r="H8" s="17" t="s">
        <v>9</v>
      </c>
      <c r="I8" s="6" t="s">
        <v>43</v>
      </c>
    </row>
    <row r="9" spans="2:14" ht="29" x14ac:dyDescent="0.35">
      <c r="B9" s="5">
        <v>7</v>
      </c>
      <c r="C9" s="1" t="s">
        <v>77</v>
      </c>
      <c r="D9" s="1" t="s">
        <v>7</v>
      </c>
      <c r="E9" s="1">
        <v>3</v>
      </c>
      <c r="F9" s="1" t="s">
        <v>65</v>
      </c>
      <c r="G9" s="1">
        <v>2</v>
      </c>
      <c r="H9" s="1" t="s">
        <v>8</v>
      </c>
      <c r="I9" s="6" t="s">
        <v>14</v>
      </c>
    </row>
    <row r="10" spans="2:14" ht="73" thickBot="1" x14ac:dyDescent="0.4">
      <c r="B10" s="5">
        <v>8</v>
      </c>
      <c r="C10" s="1" t="s">
        <v>37</v>
      </c>
      <c r="D10" s="1" t="s">
        <v>38</v>
      </c>
      <c r="E10" s="1">
        <v>5</v>
      </c>
      <c r="F10" s="18" t="s">
        <v>66</v>
      </c>
      <c r="G10" s="1">
        <v>2</v>
      </c>
      <c r="H10" s="17" t="s">
        <v>8</v>
      </c>
      <c r="I10" s="6" t="s">
        <v>39</v>
      </c>
    </row>
    <row r="11" spans="2:14" ht="29" x14ac:dyDescent="0.35">
      <c r="B11" s="5">
        <v>9</v>
      </c>
      <c r="C11" s="17" t="s">
        <v>40</v>
      </c>
      <c r="D11" s="1" t="s">
        <v>41</v>
      </c>
      <c r="E11" s="1">
        <v>3</v>
      </c>
      <c r="F11" s="17" t="s">
        <v>76</v>
      </c>
      <c r="G11" s="1">
        <v>2</v>
      </c>
      <c r="H11" s="17" t="s">
        <v>9</v>
      </c>
      <c r="I11" s="6" t="s">
        <v>42</v>
      </c>
    </row>
    <row r="12" spans="2:14" ht="43.5" x14ac:dyDescent="0.35">
      <c r="B12" s="5">
        <v>10</v>
      </c>
      <c r="C12" s="1" t="s">
        <v>78</v>
      </c>
      <c r="D12" s="1" t="s">
        <v>79</v>
      </c>
      <c r="E12" s="1">
        <v>5</v>
      </c>
      <c r="F12" s="17" t="s">
        <v>67</v>
      </c>
      <c r="G12" s="1">
        <v>2</v>
      </c>
      <c r="H12" s="17" t="s">
        <v>9</v>
      </c>
      <c r="I12" s="6" t="s">
        <v>80</v>
      </c>
    </row>
    <row r="13" spans="2:14" ht="58.5" thickBot="1" x14ac:dyDescent="0.4">
      <c r="B13" s="21">
        <v>11</v>
      </c>
      <c r="C13" s="22" t="s">
        <v>62</v>
      </c>
      <c r="D13" s="22" t="s">
        <v>64</v>
      </c>
      <c r="E13" s="22">
        <v>3</v>
      </c>
      <c r="F13" s="24" t="s">
        <v>67</v>
      </c>
      <c r="G13" s="22">
        <v>2</v>
      </c>
      <c r="H13" s="24" t="s">
        <v>8</v>
      </c>
      <c r="I13" s="23" t="s">
        <v>63</v>
      </c>
    </row>
    <row r="15" spans="2:14" ht="15" thickBot="1" x14ac:dyDescent="0.4"/>
    <row r="16" spans="2:14" ht="31.5" thickBot="1" x14ac:dyDescent="0.4">
      <c r="B16" s="7" t="s">
        <v>50</v>
      </c>
      <c r="C16" s="8" t="s">
        <v>51</v>
      </c>
      <c r="D16" s="9" t="s">
        <v>52</v>
      </c>
    </row>
    <row r="17" spans="2:4" x14ac:dyDescent="0.35">
      <c r="B17" s="34">
        <v>1</v>
      </c>
      <c r="C17" s="35">
        <f>$K$3 - B17*$K$3/14</f>
        <v>36.214285714285715</v>
      </c>
      <c r="D17" s="36">
        <v>39</v>
      </c>
    </row>
    <row r="18" spans="2:4" x14ac:dyDescent="0.35">
      <c r="B18" s="28">
        <v>2</v>
      </c>
      <c r="C18" s="29">
        <f>$K$3 - B18*$K$3/14</f>
        <v>33.428571428571431</v>
      </c>
      <c r="D18" s="30">
        <v>36</v>
      </c>
    </row>
    <row r="19" spans="2:4" x14ac:dyDescent="0.35">
      <c r="B19" s="28">
        <v>3</v>
      </c>
      <c r="C19" s="29">
        <f>$K$3 - B19*$K$3/14</f>
        <v>30.642857142857142</v>
      </c>
      <c r="D19" s="30">
        <v>36</v>
      </c>
    </row>
    <row r="20" spans="2:4" x14ac:dyDescent="0.35">
      <c r="B20" s="28">
        <v>4</v>
      </c>
      <c r="C20" s="29">
        <f>$K$3 - B20*$K$3/14</f>
        <v>27.857142857142858</v>
      </c>
      <c r="D20" s="30">
        <v>36</v>
      </c>
    </row>
    <row r="21" spans="2:4" x14ac:dyDescent="0.35">
      <c r="B21" s="28">
        <v>5</v>
      </c>
      <c r="C21" s="29">
        <f>$K$3 - B21*$K$3/14</f>
        <v>25.071428571428569</v>
      </c>
      <c r="D21" s="30">
        <v>33</v>
      </c>
    </row>
    <row r="22" spans="2:4" x14ac:dyDescent="0.35">
      <c r="B22" s="28">
        <v>6</v>
      </c>
      <c r="C22" s="29">
        <f>$K$3 - B22*$K$3/14</f>
        <v>22.285714285714285</v>
      </c>
      <c r="D22" s="30">
        <v>33</v>
      </c>
    </row>
    <row r="23" spans="2:4" x14ac:dyDescent="0.35">
      <c r="B23" s="28">
        <v>7</v>
      </c>
      <c r="C23" s="29">
        <f>$K$3 - B23*$K$3/14</f>
        <v>19.5</v>
      </c>
      <c r="D23" s="30">
        <v>22</v>
      </c>
    </row>
    <row r="24" spans="2:4" x14ac:dyDescent="0.35">
      <c r="B24" s="28">
        <v>8</v>
      </c>
      <c r="C24" s="29">
        <f>$K$3 - B24*$K$3/14</f>
        <v>16.714285714285715</v>
      </c>
      <c r="D24" s="30">
        <v>22</v>
      </c>
    </row>
    <row r="25" spans="2:4" x14ac:dyDescent="0.35">
      <c r="B25" s="28">
        <v>9</v>
      </c>
      <c r="C25" s="29">
        <f>$K$3 - B25*$K$3/14</f>
        <v>13.928571428571427</v>
      </c>
      <c r="D25" s="30">
        <v>22</v>
      </c>
    </row>
    <row r="26" spans="2:4" x14ac:dyDescent="0.35">
      <c r="B26" s="28">
        <v>10</v>
      </c>
      <c r="C26" s="29">
        <f>$K$3 - B26*$K$3/14</f>
        <v>11.142857142857142</v>
      </c>
      <c r="D26" s="30">
        <v>22</v>
      </c>
    </row>
    <row r="27" spans="2:4" x14ac:dyDescent="0.35">
      <c r="B27" s="28">
        <v>11</v>
      </c>
      <c r="C27" s="29">
        <f>$K$3 - B27*$K$3/14</f>
        <v>8.3571428571428577</v>
      </c>
      <c r="D27" s="30">
        <v>22</v>
      </c>
    </row>
    <row r="28" spans="2:4" x14ac:dyDescent="0.35">
      <c r="B28" s="28">
        <v>12</v>
      </c>
      <c r="C28" s="29">
        <f>$K$3 - B28*$K$3/14</f>
        <v>5.5714285714285694</v>
      </c>
      <c r="D28" s="30">
        <v>14</v>
      </c>
    </row>
    <row r="29" spans="2:4" x14ac:dyDescent="0.35">
      <c r="B29" s="28">
        <v>13</v>
      </c>
      <c r="C29" s="29">
        <f>$K$3 - B29*$K$3/14</f>
        <v>2.7857142857142847</v>
      </c>
      <c r="D29" s="30">
        <v>9</v>
      </c>
    </row>
    <row r="30" spans="2:4" ht="15" thickBot="1" x14ac:dyDescent="0.4">
      <c r="B30" s="31">
        <v>14</v>
      </c>
      <c r="C30" s="32">
        <f>$K$3 - B30*$K$3/14</f>
        <v>0</v>
      </c>
      <c r="D30" s="33">
        <v>0</v>
      </c>
    </row>
  </sheetData>
  <pageMargins left="0.7" right="0.7" top="0.75" bottom="0.75" header="0.3" footer="0.3"/>
  <pageSetup paperSize="9" scale="41"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BDD9-65D8-4C5C-A69E-499A3D9E6F4E}">
  <sheetPr>
    <pageSetUpPr fitToPage="1"/>
  </sheetPr>
  <dimension ref="B1:N27"/>
  <sheetViews>
    <sheetView zoomScaleNormal="100" workbookViewId="0">
      <selection activeCell="B2" sqref="B2"/>
    </sheetView>
  </sheetViews>
  <sheetFormatPr defaultRowHeight="14.5" x14ac:dyDescent="0.35"/>
  <cols>
    <col min="1" max="1" width="1.6328125" customWidth="1"/>
    <col min="2" max="2" width="9.6328125" customWidth="1"/>
    <col min="3" max="3" width="30.6328125" customWidth="1"/>
    <col min="4" max="4" width="30.6328125" style="19" customWidth="1"/>
    <col min="5" max="5" width="6.08984375" bestFit="1" customWidth="1"/>
    <col min="6" max="6" width="7.6328125" bestFit="1" customWidth="1"/>
    <col min="7" max="7" width="6.26953125" bestFit="1" customWidth="1"/>
    <col min="8" max="8" width="10.81640625" bestFit="1" customWidth="1"/>
    <col min="9" max="9" width="50.6328125" customWidth="1"/>
    <col min="11" max="12" width="11.6328125" style="19" customWidth="1"/>
    <col min="13" max="13" width="12.90625" style="19" customWidth="1"/>
    <col min="14" max="14" width="9.6328125" style="19" customWidth="1"/>
    <col min="15" max="16" width="11.6328125" customWidth="1"/>
  </cols>
  <sheetData>
    <row r="1" spans="2:14" ht="7" customHeight="1" thickBot="1" x14ac:dyDescent="0.4"/>
    <row r="2" spans="2:14" ht="16" thickBot="1" x14ac:dyDescent="0.4">
      <c r="B2" s="14" t="s">
        <v>11</v>
      </c>
      <c r="C2" s="15" t="s">
        <v>0</v>
      </c>
      <c r="D2" s="15" t="s">
        <v>1</v>
      </c>
      <c r="E2" s="15" t="s">
        <v>2</v>
      </c>
      <c r="F2" s="15" t="s">
        <v>12</v>
      </c>
      <c r="G2" s="15" t="s">
        <v>3</v>
      </c>
      <c r="H2" s="15" t="s">
        <v>4</v>
      </c>
      <c r="I2" s="16" t="s">
        <v>5</v>
      </c>
      <c r="K2" s="12" t="s">
        <v>19</v>
      </c>
      <c r="L2" s="10" t="s">
        <v>18</v>
      </c>
      <c r="N2" s="20"/>
    </row>
    <row r="3" spans="2:14" ht="44" thickBot="1" x14ac:dyDescent="0.4">
      <c r="B3" s="2">
        <v>1</v>
      </c>
      <c r="C3" s="3" t="s">
        <v>45</v>
      </c>
      <c r="D3" s="3" t="s">
        <v>81</v>
      </c>
      <c r="E3" s="3">
        <v>5</v>
      </c>
      <c r="F3" s="3" t="s">
        <v>58</v>
      </c>
      <c r="G3" s="3">
        <v>3</v>
      </c>
      <c r="H3" s="3" t="s">
        <v>9</v>
      </c>
      <c r="I3" s="4" t="s">
        <v>53</v>
      </c>
      <c r="K3" s="11">
        <v>37</v>
      </c>
      <c r="L3" s="13">
        <v>37</v>
      </c>
    </row>
    <row r="4" spans="2:14" ht="72.5" x14ac:dyDescent="0.35">
      <c r="B4" s="5">
        <v>2</v>
      </c>
      <c r="C4" s="1" t="s">
        <v>46</v>
      </c>
      <c r="D4" s="1" t="s">
        <v>85</v>
      </c>
      <c r="E4" s="1">
        <v>8</v>
      </c>
      <c r="F4" s="1" t="s">
        <v>86</v>
      </c>
      <c r="G4" s="1">
        <v>3</v>
      </c>
      <c r="H4" s="1" t="s">
        <v>8</v>
      </c>
      <c r="I4" s="6" t="s">
        <v>54</v>
      </c>
    </row>
    <row r="5" spans="2:14" ht="58" x14ac:dyDescent="0.35">
      <c r="B5" s="5">
        <v>3</v>
      </c>
      <c r="C5" s="1" t="s">
        <v>47</v>
      </c>
      <c r="D5" s="1" t="s">
        <v>82</v>
      </c>
      <c r="E5" s="1">
        <v>13</v>
      </c>
      <c r="F5" s="1" t="s">
        <v>58</v>
      </c>
      <c r="G5" s="1">
        <v>3</v>
      </c>
      <c r="H5" s="1" t="s">
        <v>8</v>
      </c>
      <c r="I5" s="6" t="s">
        <v>55</v>
      </c>
    </row>
    <row r="6" spans="2:14" ht="58" x14ac:dyDescent="0.35">
      <c r="B6" s="5">
        <v>4</v>
      </c>
      <c r="C6" s="1" t="s">
        <v>48</v>
      </c>
      <c r="D6" s="1" t="s">
        <v>83</v>
      </c>
      <c r="E6" s="1">
        <v>8</v>
      </c>
      <c r="F6" s="1" t="s">
        <v>58</v>
      </c>
      <c r="G6" s="1">
        <v>3</v>
      </c>
      <c r="H6" s="1" t="s">
        <v>49</v>
      </c>
      <c r="I6" s="6" t="s">
        <v>56</v>
      </c>
    </row>
    <row r="7" spans="2:14" ht="43.5" x14ac:dyDescent="0.35">
      <c r="B7" s="1">
        <v>5</v>
      </c>
      <c r="C7" s="1" t="s">
        <v>57</v>
      </c>
      <c r="D7" s="1" t="s">
        <v>84</v>
      </c>
      <c r="E7" s="1">
        <v>3</v>
      </c>
      <c r="F7" s="1" t="s">
        <v>58</v>
      </c>
      <c r="G7" s="1">
        <v>3</v>
      </c>
      <c r="H7" s="1" t="s">
        <v>44</v>
      </c>
      <c r="I7" s="1" t="s">
        <v>59</v>
      </c>
    </row>
    <row r="9" spans="2:14" ht="15" thickBot="1" x14ac:dyDescent="0.4"/>
    <row r="10" spans="2:14" ht="31.5" thickBot="1" x14ac:dyDescent="0.4">
      <c r="B10" s="7" t="s">
        <v>50</v>
      </c>
      <c r="C10" s="8" t="s">
        <v>51</v>
      </c>
      <c r="D10" s="9" t="s">
        <v>52</v>
      </c>
    </row>
    <row r="11" spans="2:14" x14ac:dyDescent="0.35">
      <c r="B11" s="34">
        <v>1</v>
      </c>
      <c r="C11" s="35">
        <f>$K$3 - B11*$K$3/17</f>
        <v>34.823529411764703</v>
      </c>
      <c r="D11" s="36">
        <v>37</v>
      </c>
    </row>
    <row r="12" spans="2:14" x14ac:dyDescent="0.35">
      <c r="B12" s="28">
        <v>2</v>
      </c>
      <c r="C12" s="29">
        <f>$K$3 - B12*$K$3/17</f>
        <v>32.647058823529413</v>
      </c>
      <c r="D12" s="30">
        <v>37</v>
      </c>
    </row>
    <row r="13" spans="2:14" x14ac:dyDescent="0.35">
      <c r="B13" s="28">
        <v>3</v>
      </c>
      <c r="C13" s="29">
        <f>$K$3 - B13*$K$3/17</f>
        <v>30.470588235294116</v>
      </c>
      <c r="D13" s="30">
        <v>37</v>
      </c>
    </row>
    <row r="14" spans="2:14" x14ac:dyDescent="0.35">
      <c r="B14" s="28">
        <v>4</v>
      </c>
      <c r="C14" s="29">
        <f>$K$3 - B14*$K$3/17</f>
        <v>28.294117647058826</v>
      </c>
      <c r="D14" s="30">
        <v>24</v>
      </c>
    </row>
    <row r="15" spans="2:14" x14ac:dyDescent="0.35">
      <c r="B15" s="28">
        <v>5</v>
      </c>
      <c r="C15" s="29">
        <f>$K$3 - B15*$K$3/17</f>
        <v>26.117647058823529</v>
      </c>
      <c r="D15" s="30">
        <v>13</v>
      </c>
    </row>
    <row r="16" spans="2:14" x14ac:dyDescent="0.35">
      <c r="B16" s="28">
        <v>6</v>
      </c>
      <c r="C16" s="29">
        <f>$K$3 - B16*$K$3/17</f>
        <v>23.941176470588236</v>
      </c>
      <c r="D16" s="30">
        <v>13</v>
      </c>
    </row>
    <row r="17" spans="2:4" x14ac:dyDescent="0.35">
      <c r="B17" s="28">
        <v>7</v>
      </c>
      <c r="C17" s="29">
        <f>$K$3 - B17*$K$3/17</f>
        <v>21.764705882352942</v>
      </c>
      <c r="D17" s="30">
        <v>8</v>
      </c>
    </row>
    <row r="18" spans="2:4" x14ac:dyDescent="0.35">
      <c r="B18" s="28">
        <v>8</v>
      </c>
      <c r="C18" s="29">
        <f>$K$3 - B18*$K$3/17</f>
        <v>19.588235294117649</v>
      </c>
      <c r="D18" s="30">
        <v>8</v>
      </c>
    </row>
    <row r="19" spans="2:4" x14ac:dyDescent="0.35">
      <c r="B19" s="28">
        <v>9</v>
      </c>
      <c r="C19" s="29">
        <f>$K$3 - B19*$K$3/17</f>
        <v>17.411764705882351</v>
      </c>
      <c r="D19" s="30">
        <v>8</v>
      </c>
    </row>
    <row r="20" spans="2:4" x14ac:dyDescent="0.35">
      <c r="B20" s="28">
        <v>10</v>
      </c>
      <c r="C20" s="29">
        <f>$K$3 - B20*$K$3/17</f>
        <v>15.235294117647058</v>
      </c>
      <c r="D20" s="30">
        <v>0</v>
      </c>
    </row>
    <row r="21" spans="2:4" x14ac:dyDescent="0.35">
      <c r="B21" s="28">
        <v>11</v>
      </c>
      <c r="C21" s="29">
        <f>$K$3 - B21*$K$3/17</f>
        <v>13.058823529411764</v>
      </c>
      <c r="D21" s="30">
        <v>0</v>
      </c>
    </row>
    <row r="22" spans="2:4" x14ac:dyDescent="0.35">
      <c r="B22" s="28">
        <v>12</v>
      </c>
      <c r="C22" s="29">
        <f>$K$3 - B22*$K$3/17</f>
        <v>10.882352941176471</v>
      </c>
      <c r="D22" s="30">
        <v>0</v>
      </c>
    </row>
    <row r="23" spans="2:4" x14ac:dyDescent="0.35">
      <c r="B23" s="28">
        <v>13</v>
      </c>
      <c r="C23" s="29">
        <f>$K$3 - B23*$K$3/17</f>
        <v>8.7058823529411775</v>
      </c>
      <c r="D23" s="30">
        <v>0</v>
      </c>
    </row>
    <row r="24" spans="2:4" x14ac:dyDescent="0.35">
      <c r="B24" s="28">
        <v>14</v>
      </c>
      <c r="C24" s="29">
        <f>$K$3 - B24*$K$3/17</f>
        <v>6.529411764705884</v>
      </c>
      <c r="D24" s="30">
        <v>0</v>
      </c>
    </row>
    <row r="25" spans="2:4" x14ac:dyDescent="0.35">
      <c r="B25" s="28">
        <v>15</v>
      </c>
      <c r="C25" s="29">
        <f>$K$3 - B25*$K$3/17</f>
        <v>4.352941176470587</v>
      </c>
      <c r="D25" s="30">
        <v>0</v>
      </c>
    </row>
    <row r="26" spans="2:4" x14ac:dyDescent="0.35">
      <c r="B26" s="28">
        <v>16</v>
      </c>
      <c r="C26" s="29">
        <f>$K$3 - B26*$K$3/17</f>
        <v>2.176470588235297</v>
      </c>
      <c r="D26" s="30">
        <v>0</v>
      </c>
    </row>
    <row r="27" spans="2:4" ht="15" thickBot="1" x14ac:dyDescent="0.4">
      <c r="B27" s="31">
        <v>17</v>
      </c>
      <c r="C27" s="32">
        <f>$K$3 - B27*$K$3/17</f>
        <v>0</v>
      </c>
      <c r="D27" s="33">
        <v>0</v>
      </c>
    </row>
  </sheetData>
  <pageMargins left="0.7" right="0.7" top="0.75" bottom="0.75" header="0.3" footer="0.3"/>
  <pageSetup paperSize="9" scale="74"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Sprint1</vt:lpstr>
      <vt:lpstr>Sprint2</vt:lpstr>
      <vt:lpstr>Sprint3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Nikos Ntinopoulos</cp:lastModifiedBy>
  <cp:lastPrinted>2026-03-03T12:24:19Z</cp:lastPrinted>
  <dcterms:created xsi:type="dcterms:W3CDTF">2026-01-29T17:41:22Z</dcterms:created>
  <dcterms:modified xsi:type="dcterms:W3CDTF">2026-03-09T21:00:32Z</dcterms:modified>
</cp:coreProperties>
</file>